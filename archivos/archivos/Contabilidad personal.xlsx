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/>
  <xr:revisionPtr revIDLastSave="0" documentId="8_{78E07074-372B-4ED0-A4CF-4CED45AE5B1C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Deuda_Pertenencias" sheetId="1" r:id="rId1"/>
    <sheet name="Historial crediticio" sheetId="4" r:id="rId2"/>
    <sheet name="Hoja1" sheetId="5" r:id="rId3"/>
    <sheet name="Prestamo" sheetId="2" r:id="rId4"/>
    <sheet name="Balance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5" l="1"/>
  <c r="D8" i="5"/>
  <c r="E1" i="5"/>
  <c r="F1" i="5"/>
  <c r="B7" i="4"/>
  <c r="F27" i="1"/>
  <c r="O3" i="1"/>
  <c r="N3" i="1"/>
  <c r="C35" i="2"/>
  <c r="G3" i="2"/>
  <c r="N5" i="1"/>
  <c r="B11" i="3"/>
  <c r="K21" i="1"/>
  <c r="K13" i="1"/>
  <c r="O4" i="1" s="1"/>
  <c r="B5" i="1"/>
  <c r="B6" i="1" s="1"/>
  <c r="K9" i="1"/>
  <c r="F15" i="1"/>
  <c r="F1" i="1" s="1"/>
  <c r="O2" i="1" s="1"/>
  <c r="F4" i="3" l="1"/>
  <c r="F5" i="3"/>
  <c r="O5" i="1"/>
</calcChain>
</file>

<file path=xl/sharedStrings.xml><?xml version="1.0" encoding="utf-8"?>
<sst xmlns="http://schemas.openxmlformats.org/spreadsheetml/2006/main" count="105" uniqueCount="52">
  <si>
    <t>Cantidad mensual</t>
  </si>
  <si>
    <t>Telefono</t>
  </si>
  <si>
    <t>Telefono Madre</t>
  </si>
  <si>
    <t>Nombre</t>
  </si>
  <si>
    <t>Deuda inicial</t>
  </si>
  <si>
    <t>Deuda actual</t>
  </si>
  <si>
    <t>pagos</t>
  </si>
  <si>
    <t>Monto</t>
  </si>
  <si>
    <t>Cuotas</t>
  </si>
  <si>
    <t>Mes</t>
  </si>
  <si>
    <t>Agosto</t>
  </si>
  <si>
    <t>Junio</t>
  </si>
  <si>
    <t>Zapatos</t>
  </si>
  <si>
    <t>Septiembre</t>
  </si>
  <si>
    <t>Julio</t>
  </si>
  <si>
    <t>Televicion</t>
  </si>
  <si>
    <t>Octubre</t>
  </si>
  <si>
    <t>agosto</t>
  </si>
  <si>
    <t>Total</t>
  </si>
  <si>
    <t>Comentarios</t>
  </si>
  <si>
    <t>Noviembre</t>
  </si>
  <si>
    <t>Se efectua cada 15 del mes</t>
  </si>
  <si>
    <t>Diciembre</t>
  </si>
  <si>
    <t>Enero</t>
  </si>
  <si>
    <t>Febrero</t>
  </si>
  <si>
    <t>Marzo</t>
  </si>
  <si>
    <t>Abril</t>
  </si>
  <si>
    <t>Mayo</t>
  </si>
  <si>
    <t>Telefono madre</t>
  </si>
  <si>
    <t>Sueldo</t>
  </si>
  <si>
    <t xml:space="preserve">alquiler </t>
  </si>
  <si>
    <t xml:space="preserve">gastos alimentos </t>
  </si>
  <si>
    <t>deuda papa</t>
  </si>
  <si>
    <t xml:space="preserve">deuda elida </t>
  </si>
  <si>
    <t>pasajes</t>
  </si>
  <si>
    <t>eliptica</t>
  </si>
  <si>
    <t xml:space="preserve">prestamo Elida </t>
  </si>
  <si>
    <t>No.</t>
  </si>
  <si>
    <t>Fecha</t>
  </si>
  <si>
    <t>Cantidad pagado</t>
  </si>
  <si>
    <t>Deuda faltante</t>
  </si>
  <si>
    <t>Gastos quicenales</t>
  </si>
  <si>
    <t>Historial canitadad con la que cuento</t>
  </si>
  <si>
    <t>univercidad</t>
  </si>
  <si>
    <t>cantidad</t>
  </si>
  <si>
    <t>Cantidad sobrante a disponer</t>
  </si>
  <si>
    <t>casa</t>
  </si>
  <si>
    <t>Ser.agua</t>
  </si>
  <si>
    <t>comidas Uni</t>
  </si>
  <si>
    <t>Deudas pertenencias por quicena</t>
  </si>
  <si>
    <t>Prestamo. E</t>
  </si>
  <si>
    <t xml:space="preserve">Gas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</si>
</sst>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Q-100A]* #,##0.00_-;\-[$Q-100A]* #,##0.00_-;_-[$Q-100A]* &quot;-&quot;??_-;_-@_-"/>
    <numFmt numFmtId="165" formatCode="[$-F800]dddd\,\ mmmm\ dd\,\ yyyy"/>
  </numFmts>
  <fonts count="5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2" borderId="0" xfId="0" applyFill="1"/>
    <xf numFmtId="0" fontId="0" fillId="0" borderId="1" xfId="0" applyBorder="1" applyAlignment="1">
      <alignment horizontal="center"/>
    </xf>
    <xf numFmtId="2" fontId="0" fillId="0" borderId="0" xfId="0" applyNumberFormat="1"/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2" fontId="0" fillId="2" borderId="1" xfId="0" applyNumberFormat="1" applyFill="1" applyBorder="1"/>
    <xf numFmtId="164" fontId="0" fillId="6" borderId="1" xfId="0" applyNumberFormat="1" applyFill="1" applyBorder="1"/>
    <xf numFmtId="0" fontId="0" fillId="7" borderId="1" xfId="0" applyFill="1" applyBorder="1"/>
    <xf numFmtId="14" fontId="0" fillId="0" borderId="1" xfId="0" applyNumberFormat="1" applyBorder="1"/>
    <xf numFmtId="164" fontId="0" fillId="0" borderId="1" xfId="0" applyNumberFormat="1" applyBorder="1"/>
    <xf numFmtId="164" fontId="0" fillId="2" borderId="1" xfId="0" applyNumberFormat="1" applyFill="1" applyBorder="1"/>
    <xf numFmtId="0" fontId="2" fillId="0" borderId="0" xfId="0" applyFont="1"/>
    <xf numFmtId="0" fontId="0" fillId="0" borderId="3" xfId="0" applyBorder="1"/>
    <xf numFmtId="0" fontId="0" fillId="0" borderId="4" xfId="0" applyBorder="1"/>
    <xf numFmtId="0" fontId="3" fillId="8" borderId="2" xfId="0" applyFont="1" applyFill="1" applyBorder="1"/>
    <xf numFmtId="0" fontId="0" fillId="8" borderId="2" xfId="0" applyFill="1" applyBorder="1"/>
    <xf numFmtId="0" fontId="0" fillId="0" borderId="0" xfId="0" applyAlignment="1">
      <alignment horizontal="center" vertical="center"/>
    </xf>
    <xf numFmtId="0" fontId="3" fillId="9" borderId="8" xfId="0" applyFont="1" applyFill="1" applyBorder="1"/>
    <xf numFmtId="0" fontId="0" fillId="0" borderId="9" xfId="0" applyBorder="1"/>
    <xf numFmtId="164" fontId="0" fillId="0" borderId="0" xfId="0" applyNumberFormat="1"/>
    <xf numFmtId="165" fontId="0" fillId="0" borderId="0" xfId="0" applyNumberFormat="1" applyAlignment="1">
      <alignment horizontal="center" vertical="center"/>
    </xf>
    <xf numFmtId="0" fontId="0" fillId="11" borderId="1" xfId="0" applyFill="1" applyBorder="1"/>
    <xf numFmtId="165" fontId="2" fillId="0" borderId="0" xfId="0" applyNumberFormat="1" applyFont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workbookViewId="0">
      <selection activeCell="M1" sqref="M1"/>
    </sheetView>
  </sheetViews>
  <sheetFormatPr defaultRowHeight="15"/>
  <cols>
    <col min="1" max="1" width="9.42578125" bestFit="1" customWidth="1"/>
    <col min="2" max="2" width="23.7109375" customWidth="1"/>
    <col min="5" max="5" width="14" customWidth="1"/>
    <col min="9" max="9" width="15" customWidth="1"/>
    <col min="10" max="10" width="11.28515625" customWidth="1"/>
    <col min="11" max="11" width="10.42578125" bestFit="1" customWidth="1"/>
    <col min="13" max="13" width="9.42578125" bestFit="1" customWidth="1"/>
    <col min="14" max="14" width="13.28515625" customWidth="1"/>
    <col min="15" max="15" width="12.28515625" customWidth="1"/>
    <col min="17" max="17" width="24.140625" bestFit="1" customWidth="1"/>
  </cols>
  <sheetData>
    <row r="1" spans="1:17">
      <c r="A1" s="9" t="s">
        <v>0</v>
      </c>
      <c r="B1" s="9"/>
      <c r="D1" s="9" t="s">
        <v>1</v>
      </c>
      <c r="E1" s="9">
        <v>3233.88</v>
      </c>
      <c r="F1" s="6">
        <f>E1-F15</f>
        <v>0</v>
      </c>
      <c r="I1" s="9" t="s">
        <v>2</v>
      </c>
      <c r="J1" s="9">
        <v>647.5</v>
      </c>
      <c r="K1" s="6">
        <v>0</v>
      </c>
      <c r="M1" s="1" t="s">
        <v>3</v>
      </c>
      <c r="N1" s="1" t="s">
        <v>4</v>
      </c>
      <c r="O1" s="1" t="s">
        <v>5</v>
      </c>
    </row>
    <row r="2" spans="1:17">
      <c r="A2" s="1" t="s">
        <v>6</v>
      </c>
      <c r="B2" s="1" t="s">
        <v>7</v>
      </c>
      <c r="D2" s="1" t="s">
        <v>8</v>
      </c>
      <c r="E2" s="1" t="s">
        <v>9</v>
      </c>
      <c r="F2" s="1" t="s">
        <v>7</v>
      </c>
      <c r="I2" s="1" t="s">
        <v>8</v>
      </c>
      <c r="J2" s="1" t="s">
        <v>9</v>
      </c>
      <c r="K2" s="1" t="s">
        <v>7</v>
      </c>
      <c r="M2" s="9" t="s">
        <v>1</v>
      </c>
      <c r="N2" s="9">
        <v>3233.88</v>
      </c>
      <c r="O2" s="6">
        <f>F1</f>
        <v>0</v>
      </c>
    </row>
    <row r="3" spans="1:17">
      <c r="A3" s="1" t="s">
        <v>1</v>
      </c>
      <c r="B3" s="1">
        <v>269.49</v>
      </c>
      <c r="D3" s="7">
        <v>1</v>
      </c>
      <c r="E3" s="8" t="s">
        <v>10</v>
      </c>
      <c r="F3" s="8">
        <v>269.49</v>
      </c>
      <c r="I3" s="7">
        <v>1</v>
      </c>
      <c r="J3" s="8" t="s">
        <v>11</v>
      </c>
      <c r="K3" s="8">
        <v>108</v>
      </c>
      <c r="M3" s="9" t="s">
        <v>12</v>
      </c>
      <c r="N3" s="9">
        <f>J1</f>
        <v>647.5</v>
      </c>
      <c r="O3" s="6">
        <f>J1-K9</f>
        <v>539.5</v>
      </c>
    </row>
    <row r="4" spans="1:17">
      <c r="A4" s="1" t="s">
        <v>1</v>
      </c>
      <c r="B4" s="2">
        <v>108</v>
      </c>
      <c r="D4" s="4">
        <v>2</v>
      </c>
      <c r="E4" s="1" t="s">
        <v>13</v>
      </c>
      <c r="F4" s="1">
        <v>269.49</v>
      </c>
      <c r="I4" s="4">
        <v>2</v>
      </c>
      <c r="J4" s="1" t="s">
        <v>14</v>
      </c>
      <c r="K4" s="1"/>
      <c r="M4" s="9" t="s">
        <v>15</v>
      </c>
      <c r="N4" s="9">
        <v>1000</v>
      </c>
      <c r="O4" s="6">
        <f>K13</f>
        <v>0</v>
      </c>
    </row>
    <row r="5" spans="1:17">
      <c r="A5" s="1" t="s">
        <v>15</v>
      </c>
      <c r="B5" s="2">
        <f>1000/6</f>
        <v>166.66666666666666</v>
      </c>
      <c r="D5" s="4">
        <v>3</v>
      </c>
      <c r="E5" s="1" t="s">
        <v>16</v>
      </c>
      <c r="F5" s="1">
        <v>269.49</v>
      </c>
      <c r="I5" s="4">
        <v>3</v>
      </c>
      <c r="J5" s="1" t="s">
        <v>17</v>
      </c>
      <c r="K5" s="1"/>
      <c r="M5" s="1" t="s">
        <v>18</v>
      </c>
      <c r="N5" s="10">
        <f>SUM(N2:N4)</f>
        <v>4881.38</v>
      </c>
      <c r="O5" s="11">
        <f>SUM(O2:O4)</f>
        <v>539.5</v>
      </c>
      <c r="Q5" s="24" t="s">
        <v>19</v>
      </c>
    </row>
    <row r="6" spans="1:17">
      <c r="A6" s="1" t="s">
        <v>18</v>
      </c>
      <c r="B6" s="12">
        <f>SUM(B3:B5)</f>
        <v>544.15666666666664</v>
      </c>
      <c r="D6" s="4">
        <v>4</v>
      </c>
      <c r="E6" s="1" t="s">
        <v>20</v>
      </c>
      <c r="F6" s="1">
        <v>269.49</v>
      </c>
      <c r="I6" s="4">
        <v>4</v>
      </c>
      <c r="J6" s="1" t="s">
        <v>13</v>
      </c>
      <c r="K6" s="1"/>
      <c r="P6" s="5"/>
      <c r="Q6" s="25" t="s">
        <v>21</v>
      </c>
    </row>
    <row r="7" spans="1:17">
      <c r="D7" s="4">
        <v>5</v>
      </c>
      <c r="E7" s="1" t="s">
        <v>22</v>
      </c>
      <c r="F7" s="1">
        <v>269.49</v>
      </c>
      <c r="I7" s="4">
        <v>5</v>
      </c>
      <c r="J7" s="1" t="s">
        <v>16</v>
      </c>
      <c r="K7" s="1"/>
    </row>
    <row r="8" spans="1:17">
      <c r="D8" s="4">
        <v>6</v>
      </c>
      <c r="E8" s="1" t="s">
        <v>23</v>
      </c>
      <c r="F8" s="1">
        <v>269.49</v>
      </c>
      <c r="I8" s="4">
        <v>6</v>
      </c>
      <c r="J8" s="1" t="s">
        <v>20</v>
      </c>
      <c r="K8" s="1"/>
    </row>
    <row r="9" spans="1:17">
      <c r="D9" s="4">
        <v>7</v>
      </c>
      <c r="E9" s="1" t="s">
        <v>24</v>
      </c>
      <c r="F9" s="1">
        <v>269.49</v>
      </c>
      <c r="J9" t="s">
        <v>18</v>
      </c>
      <c r="K9" s="3">
        <f>SUM(K3:K8)</f>
        <v>108</v>
      </c>
    </row>
    <row r="10" spans="1:17">
      <c r="D10" s="4">
        <v>8</v>
      </c>
      <c r="E10" s="1" t="s">
        <v>25</v>
      </c>
      <c r="F10" s="1">
        <v>269.49</v>
      </c>
    </row>
    <row r="11" spans="1:17">
      <c r="D11" s="4">
        <v>9</v>
      </c>
      <c r="E11" s="1" t="s">
        <v>26</v>
      </c>
      <c r="F11" s="1">
        <v>269.49</v>
      </c>
    </row>
    <row r="12" spans="1:17">
      <c r="D12" s="4">
        <v>10</v>
      </c>
      <c r="E12" s="1" t="s">
        <v>27</v>
      </c>
      <c r="F12" s="1">
        <v>269.49</v>
      </c>
    </row>
    <row r="13" spans="1:17">
      <c r="D13" s="4">
        <v>11</v>
      </c>
      <c r="E13" s="1" t="s">
        <v>11</v>
      </c>
      <c r="F13" s="1">
        <v>269.49</v>
      </c>
      <c r="I13" s="9" t="s">
        <v>15</v>
      </c>
      <c r="J13" s="9">
        <v>1000</v>
      </c>
      <c r="K13" s="6">
        <f>J13-K21</f>
        <v>0</v>
      </c>
    </row>
    <row r="14" spans="1:17">
      <c r="D14" s="4">
        <v>12</v>
      </c>
      <c r="E14" s="1" t="s">
        <v>14</v>
      </c>
      <c r="F14" s="1">
        <v>269.49</v>
      </c>
      <c r="I14" s="1" t="s">
        <v>8</v>
      </c>
      <c r="J14" s="1" t="s">
        <v>9</v>
      </c>
      <c r="K14" s="1" t="s">
        <v>7</v>
      </c>
    </row>
    <row r="15" spans="1:17">
      <c r="E15" t="s">
        <v>18</v>
      </c>
      <c r="F15" s="3">
        <f>SUM(F3:F14)</f>
        <v>3233.8799999999992</v>
      </c>
      <c r="I15" s="7">
        <v>1</v>
      </c>
      <c r="J15" s="8" t="s">
        <v>23</v>
      </c>
      <c r="K15" s="8">
        <v>166.67</v>
      </c>
    </row>
    <row r="16" spans="1:17">
      <c r="I16" s="4">
        <v>2</v>
      </c>
      <c r="J16" s="1" t="s">
        <v>24</v>
      </c>
      <c r="K16" s="1">
        <v>166.67</v>
      </c>
      <c r="N16" s="18"/>
    </row>
    <row r="17" spans="4:15">
      <c r="I17" s="4">
        <v>3</v>
      </c>
      <c r="J17" s="1" t="s">
        <v>25</v>
      </c>
      <c r="K17" s="1">
        <v>166.67</v>
      </c>
      <c r="N17" s="18"/>
    </row>
    <row r="18" spans="4:15">
      <c r="I18" s="4">
        <v>4</v>
      </c>
      <c r="J18" s="1" t="s">
        <v>26</v>
      </c>
      <c r="K18" s="1">
        <v>166.67</v>
      </c>
      <c r="O18" s="18"/>
    </row>
    <row r="19" spans="4:15">
      <c r="I19" s="4">
        <v>5</v>
      </c>
      <c r="J19" s="1" t="s">
        <v>27</v>
      </c>
      <c r="K19" s="1">
        <v>166.67</v>
      </c>
    </row>
    <row r="20" spans="4:15">
      <c r="I20" s="4">
        <v>6</v>
      </c>
      <c r="J20" s="1" t="s">
        <v>11</v>
      </c>
      <c r="K20" s="1">
        <v>166.65</v>
      </c>
    </row>
    <row r="21" spans="4:15">
      <c r="J21" t="s">
        <v>18</v>
      </c>
      <c r="K21" s="3">
        <f>SUM(K15:K20)</f>
        <v>999.99999999999989</v>
      </c>
    </row>
    <row r="27" spans="4:15">
      <c r="D27" s="9" t="s">
        <v>1</v>
      </c>
      <c r="E27" s="9">
        <v>3233.88</v>
      </c>
      <c r="F27" s="6">
        <f>E27-F41</f>
        <v>3233.88</v>
      </c>
    </row>
    <row r="28" spans="4:15">
      <c r="D28" s="1" t="s">
        <v>8</v>
      </c>
      <c r="E28" s="1" t="s">
        <v>9</v>
      </c>
      <c r="F28" s="1" t="s">
        <v>7</v>
      </c>
    </row>
    <row r="29" spans="4:15">
      <c r="D29" s="7">
        <v>1</v>
      </c>
      <c r="E29" s="8" t="s">
        <v>10</v>
      </c>
      <c r="F29" s="8">
        <v>269.49</v>
      </c>
    </row>
    <row r="30" spans="4:15">
      <c r="D30" s="4">
        <v>2</v>
      </c>
      <c r="E30" s="1" t="s">
        <v>13</v>
      </c>
      <c r="F30" s="1">
        <v>269.49</v>
      </c>
    </row>
    <row r="31" spans="4:15">
      <c r="D31" s="4">
        <v>3</v>
      </c>
      <c r="E31" s="1" t="s">
        <v>16</v>
      </c>
      <c r="F31" s="1">
        <v>269.49</v>
      </c>
    </row>
    <row r="32" spans="4:15">
      <c r="D32" s="4">
        <v>4</v>
      </c>
      <c r="E32" s="1" t="s">
        <v>20</v>
      </c>
      <c r="F32" s="1">
        <v>269.49</v>
      </c>
    </row>
    <row r="33" spans="4:6">
      <c r="D33" s="4">
        <v>5</v>
      </c>
      <c r="E33" s="1" t="s">
        <v>22</v>
      </c>
      <c r="F33" s="1">
        <v>269.49</v>
      </c>
    </row>
    <row r="34" spans="4:6">
      <c r="D34" s="4">
        <v>6</v>
      </c>
      <c r="E34" s="1" t="s">
        <v>23</v>
      </c>
      <c r="F34" s="1">
        <v>269.49</v>
      </c>
    </row>
    <row r="35" spans="4:6">
      <c r="D35" s="4">
        <v>7</v>
      </c>
      <c r="E35" s="1" t="s">
        <v>24</v>
      </c>
      <c r="F35" s="1">
        <v>269.49</v>
      </c>
    </row>
    <row r="36" spans="4:6">
      <c r="D36" s="4">
        <v>8</v>
      </c>
      <c r="E36" s="1" t="s">
        <v>25</v>
      </c>
      <c r="F36" s="1">
        <v>269.49</v>
      </c>
    </row>
    <row r="37" spans="4:6">
      <c r="D37" s="4">
        <v>9</v>
      </c>
      <c r="E37" s="1" t="s">
        <v>26</v>
      </c>
      <c r="F37" s="1">
        <v>269.49</v>
      </c>
    </row>
    <row r="38" spans="4:6">
      <c r="D38" s="4">
        <v>10</v>
      </c>
      <c r="E38" s="1" t="s">
        <v>27</v>
      </c>
      <c r="F38" s="1">
        <v>269.49</v>
      </c>
    </row>
    <row r="39" spans="4:6">
      <c r="D39" s="4">
        <v>11</v>
      </c>
      <c r="E39" s="1" t="s">
        <v>11</v>
      </c>
      <c r="F39" s="1">
        <v>269.49</v>
      </c>
    </row>
    <row r="40" spans="4:6">
      <c r="D40" s="4">
        <v>12</v>
      </c>
      <c r="E40" s="1" t="s">
        <v>14</v>
      </c>
      <c r="F40" s="1">
        <v>269.49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66415-474D-438A-B054-69F86784D700}">
  <dimension ref="A2:B7"/>
  <sheetViews>
    <sheetView workbookViewId="0">
      <selection activeCell="A7" sqref="A7"/>
    </sheetView>
  </sheetViews>
  <sheetFormatPr defaultRowHeight="15"/>
  <cols>
    <col min="1" max="1" width="17.140625" customWidth="1"/>
    <col min="2" max="2" width="24.5703125" customWidth="1"/>
  </cols>
  <sheetData>
    <row r="2" spans="1:2">
      <c r="A2" s="1" t="s">
        <v>3</v>
      </c>
      <c r="B2" s="1" t="s">
        <v>4</v>
      </c>
    </row>
    <row r="3" spans="1:2">
      <c r="A3" s="9" t="s">
        <v>1</v>
      </c>
      <c r="B3" s="9">
        <v>3233.88</v>
      </c>
    </row>
    <row r="4" spans="1:2">
      <c r="A4" s="9" t="s">
        <v>12</v>
      </c>
      <c r="B4" s="9">
        <v>950</v>
      </c>
    </row>
    <row r="5" spans="1:2">
      <c r="A5" s="9" t="s">
        <v>15</v>
      </c>
      <c r="B5" s="9">
        <v>1000</v>
      </c>
    </row>
    <row r="6" spans="1:2">
      <c r="A6" s="9" t="s">
        <v>28</v>
      </c>
      <c r="B6" s="9"/>
    </row>
    <row r="7" spans="1:2">
      <c r="A7" s="1" t="s">
        <v>18</v>
      </c>
      <c r="B7" s="10">
        <f>SUM(B3:B5)</f>
        <v>5183.88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2D686-2CEF-429C-8303-BD4092715AA6}">
  <dimension ref="C1:I8"/>
  <sheetViews>
    <sheetView tabSelected="1" workbookViewId="0">
      <selection activeCell="D10" sqref="D10"/>
    </sheetView>
  </sheetViews>
  <sheetFormatPr defaultRowHeight="15"/>
  <cols>
    <col min="3" max="3" width="19.140625" customWidth="1"/>
  </cols>
  <sheetData>
    <row r="1" spans="3:9">
      <c r="C1" t="s">
        <v>29</v>
      </c>
      <c r="D1">
        <v>5100</v>
      </c>
      <c r="E1">
        <f>D1-D6</f>
        <v>4900</v>
      </c>
      <c r="F1">
        <f>D1-E1</f>
        <v>200</v>
      </c>
    </row>
    <row r="2" spans="3:9">
      <c r="C2" t="s">
        <v>30</v>
      </c>
      <c r="D2">
        <v>1100</v>
      </c>
      <c r="I2">
        <f>22*24</f>
        <v>528</v>
      </c>
    </row>
    <row r="3" spans="3:9">
      <c r="C3" t="s">
        <v>31</v>
      </c>
      <c r="D3">
        <v>500</v>
      </c>
    </row>
    <row r="4" spans="3:9">
      <c r="C4" t="s">
        <v>32</v>
      </c>
      <c r="D4">
        <v>2000</v>
      </c>
    </row>
    <row r="5" spans="3:9">
      <c r="C5" t="s">
        <v>33</v>
      </c>
      <c r="D5">
        <v>500</v>
      </c>
    </row>
    <row r="6" spans="3:9">
      <c r="C6" t="s">
        <v>34</v>
      </c>
      <c r="D6">
        <v>200</v>
      </c>
    </row>
    <row r="7" spans="3:9">
      <c r="C7" t="s">
        <v>35</v>
      </c>
      <c r="D7">
        <v>160</v>
      </c>
    </row>
    <row r="8" spans="3:9">
      <c r="D8">
        <f>SUM(D2:D7)</f>
        <v>4460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9D574-F97A-4351-8852-9393E6E256B1}">
  <dimension ref="A2:J35"/>
  <sheetViews>
    <sheetView workbookViewId="0">
      <selection activeCell="F36" sqref="F36"/>
    </sheetView>
  </sheetViews>
  <sheetFormatPr defaultRowHeight="15"/>
  <cols>
    <col min="2" max="2" width="16.42578125" customWidth="1"/>
    <col min="3" max="3" width="17.5703125" customWidth="1"/>
    <col min="6" max="6" width="18.5703125" customWidth="1"/>
    <col min="7" max="7" width="14.140625" customWidth="1"/>
  </cols>
  <sheetData>
    <row r="2" spans="1:10">
      <c r="A2" s="30" t="s">
        <v>36</v>
      </c>
      <c r="B2" s="30"/>
      <c r="C2" s="13">
        <v>27000</v>
      </c>
    </row>
    <row r="3" spans="1:10">
      <c r="A3" s="28" t="s">
        <v>37</v>
      </c>
      <c r="B3" s="14" t="s">
        <v>38</v>
      </c>
      <c r="C3" s="14" t="s">
        <v>39</v>
      </c>
      <c r="F3" s="14" t="s">
        <v>40</v>
      </c>
      <c r="G3" s="16">
        <f>C2-C35</f>
        <v>15600</v>
      </c>
    </row>
    <row r="4" spans="1:10">
      <c r="A4" s="4">
        <v>31</v>
      </c>
      <c r="B4" s="15">
        <v>45519</v>
      </c>
      <c r="C4" s="16">
        <v>1000</v>
      </c>
    </row>
    <row r="5" spans="1:10">
      <c r="A5" s="4">
        <v>30</v>
      </c>
      <c r="B5" s="15">
        <v>45535</v>
      </c>
      <c r="C5" s="16">
        <v>1000</v>
      </c>
    </row>
    <row r="6" spans="1:10">
      <c r="A6" s="4">
        <v>29</v>
      </c>
      <c r="B6" s="15">
        <v>45550</v>
      </c>
      <c r="C6" s="16">
        <v>1000</v>
      </c>
    </row>
    <row r="7" spans="1:10">
      <c r="A7" s="4">
        <v>28</v>
      </c>
      <c r="B7" s="15">
        <v>45565</v>
      </c>
      <c r="C7" s="16">
        <v>1000</v>
      </c>
    </row>
    <row r="8" spans="1:10">
      <c r="A8" s="4">
        <v>27</v>
      </c>
      <c r="B8" s="15">
        <v>45580</v>
      </c>
      <c r="C8" s="16">
        <v>1000</v>
      </c>
    </row>
    <row r="9" spans="1:10">
      <c r="A9" s="4">
        <v>26</v>
      </c>
      <c r="B9" s="15">
        <v>45595</v>
      </c>
      <c r="C9" s="16">
        <v>1000</v>
      </c>
    </row>
    <row r="10" spans="1:10">
      <c r="A10" s="4">
        <v>25</v>
      </c>
      <c r="B10" s="15">
        <v>45641</v>
      </c>
      <c r="C10" s="16">
        <v>1000</v>
      </c>
    </row>
    <row r="11" spans="1:10">
      <c r="A11" s="4">
        <v>24</v>
      </c>
      <c r="B11" s="15">
        <v>45657</v>
      </c>
      <c r="C11" s="16">
        <v>1000</v>
      </c>
      <c r="J11" s="5"/>
    </row>
    <row r="12" spans="1:10">
      <c r="A12" s="4">
        <v>23</v>
      </c>
      <c r="B12" s="15">
        <v>45672</v>
      </c>
      <c r="C12" s="16">
        <v>1000</v>
      </c>
    </row>
    <row r="13" spans="1:10">
      <c r="A13" s="4">
        <v>22</v>
      </c>
      <c r="B13" s="15">
        <v>45762</v>
      </c>
      <c r="C13" s="16">
        <v>800</v>
      </c>
    </row>
    <row r="14" spans="1:10">
      <c r="A14" s="4">
        <v>21</v>
      </c>
      <c r="B14" s="15">
        <v>45777</v>
      </c>
      <c r="C14" s="16">
        <v>800</v>
      </c>
    </row>
    <row r="15" spans="1:10">
      <c r="A15" s="4">
        <v>20</v>
      </c>
      <c r="B15" s="15">
        <v>45792</v>
      </c>
      <c r="C15" s="16">
        <v>0</v>
      </c>
    </row>
    <row r="16" spans="1:10">
      <c r="A16" s="4">
        <v>19</v>
      </c>
      <c r="B16" s="15">
        <v>45808</v>
      </c>
      <c r="C16" s="16">
        <v>0</v>
      </c>
    </row>
    <row r="17" spans="1:3">
      <c r="A17" s="4">
        <v>18</v>
      </c>
      <c r="B17" s="15">
        <v>45823</v>
      </c>
      <c r="C17" s="16">
        <v>800</v>
      </c>
    </row>
    <row r="18" spans="1:3">
      <c r="A18" s="4">
        <v>17</v>
      </c>
      <c r="B18" s="15">
        <v>45838</v>
      </c>
      <c r="C18" s="16"/>
    </row>
    <row r="19" spans="1:3">
      <c r="A19" s="4">
        <v>16</v>
      </c>
      <c r="B19" s="15">
        <v>45853</v>
      </c>
      <c r="C19" s="16"/>
    </row>
    <row r="20" spans="1:3">
      <c r="A20" s="4">
        <v>15</v>
      </c>
      <c r="B20" s="15">
        <v>45869</v>
      </c>
      <c r="C20" s="16"/>
    </row>
    <row r="21" spans="1:3">
      <c r="A21" s="4">
        <v>14</v>
      </c>
      <c r="B21" s="15">
        <v>45884</v>
      </c>
      <c r="C21" s="16"/>
    </row>
    <row r="22" spans="1:3">
      <c r="A22" s="4">
        <v>13</v>
      </c>
      <c r="B22" s="15">
        <v>45900</v>
      </c>
      <c r="C22" s="16"/>
    </row>
    <row r="23" spans="1:3">
      <c r="A23" s="4">
        <v>12</v>
      </c>
      <c r="B23" s="15">
        <v>45915</v>
      </c>
      <c r="C23" s="16"/>
    </row>
    <row r="24" spans="1:3">
      <c r="A24" s="4">
        <v>11</v>
      </c>
      <c r="B24" s="15">
        <v>45930</v>
      </c>
      <c r="C24" s="16"/>
    </row>
    <row r="25" spans="1:3">
      <c r="A25" s="4">
        <v>10</v>
      </c>
      <c r="B25" s="15">
        <v>45945</v>
      </c>
      <c r="C25" s="16"/>
    </row>
    <row r="26" spans="1:3">
      <c r="A26" s="4">
        <v>9</v>
      </c>
      <c r="B26" s="15">
        <v>45961</v>
      </c>
      <c r="C26" s="16"/>
    </row>
    <row r="27" spans="1:3">
      <c r="A27" s="4">
        <v>8</v>
      </c>
      <c r="B27" s="15">
        <v>45976</v>
      </c>
      <c r="C27" s="16"/>
    </row>
    <row r="28" spans="1:3">
      <c r="A28" s="4">
        <v>7</v>
      </c>
      <c r="B28" s="15">
        <v>45991</v>
      </c>
      <c r="C28" s="16"/>
    </row>
    <row r="29" spans="1:3">
      <c r="A29" s="4">
        <v>6</v>
      </c>
      <c r="B29" s="15">
        <v>46006</v>
      </c>
      <c r="C29" s="16"/>
    </row>
    <row r="30" spans="1:3">
      <c r="A30" s="4">
        <v>5</v>
      </c>
      <c r="B30" s="15">
        <v>46022</v>
      </c>
      <c r="C30" s="16"/>
    </row>
    <row r="31" spans="1:3">
      <c r="A31" s="4">
        <v>4</v>
      </c>
      <c r="B31" s="15">
        <v>46037</v>
      </c>
      <c r="C31" s="16"/>
    </row>
    <row r="32" spans="1:3">
      <c r="A32" s="4">
        <v>3</v>
      </c>
      <c r="B32" s="15">
        <v>46053</v>
      </c>
      <c r="C32" s="16"/>
    </row>
    <row r="33" spans="1:3">
      <c r="A33" s="4">
        <v>2</v>
      </c>
      <c r="B33" s="15">
        <v>46068</v>
      </c>
      <c r="C33" s="16"/>
    </row>
    <row r="34" spans="1:3">
      <c r="A34" s="4">
        <v>1</v>
      </c>
      <c r="B34" s="15">
        <v>46081</v>
      </c>
      <c r="C34" s="16"/>
    </row>
    <row r="35" spans="1:3">
      <c r="A35" s="31" t="s">
        <v>18</v>
      </c>
      <c r="B35" s="32"/>
      <c r="C35" s="17">
        <f>SUM(C4:C34)</f>
        <v>11400</v>
      </c>
    </row>
  </sheetData>
  <mergeCells count="2">
    <mergeCell ref="A2:B2"/>
    <mergeCell ref="A35:B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AA850-D393-4D3D-9B49-B13C698A2868}">
  <dimension ref="A1:F129"/>
  <sheetViews>
    <sheetView workbookViewId="0">
      <selection activeCell="F13" sqref="F13"/>
    </sheetView>
  </sheetViews>
  <sheetFormatPr defaultRowHeight="15"/>
  <cols>
    <col min="1" max="1" width="29.5703125" bestFit="1" customWidth="1"/>
    <col min="4" max="4" width="32.5703125" style="23" bestFit="1" customWidth="1"/>
    <col min="5" max="5" width="10.7109375" bestFit="1" customWidth="1"/>
    <col min="6" max="6" width="26" bestFit="1" customWidth="1"/>
  </cols>
  <sheetData>
    <row r="1" spans="1:6">
      <c r="D1"/>
    </row>
    <row r="2" spans="1:6">
      <c r="A2" s="33" t="s">
        <v>41</v>
      </c>
      <c r="B2" s="33"/>
      <c r="D2" s="34" t="s">
        <v>42</v>
      </c>
      <c r="E2" s="35"/>
      <c r="F2" s="36"/>
    </row>
    <row r="3" spans="1:6">
      <c r="A3" s="1" t="s">
        <v>43</v>
      </c>
      <c r="B3" s="1">
        <v>450</v>
      </c>
      <c r="D3" s="1" t="s">
        <v>38</v>
      </c>
      <c r="E3" s="1" t="s">
        <v>44</v>
      </c>
      <c r="F3" s="1" t="s">
        <v>45</v>
      </c>
    </row>
    <row r="4" spans="1:6">
      <c r="A4" s="1" t="s">
        <v>46</v>
      </c>
      <c r="B4" s="1">
        <v>300</v>
      </c>
      <c r="D4" s="27">
        <v>45716</v>
      </c>
      <c r="E4" s="26">
        <v>2250</v>
      </c>
      <c r="F4" s="26">
        <f>E4-B11</f>
        <v>-30</v>
      </c>
    </row>
    <row r="5" spans="1:6">
      <c r="A5" s="20" t="s">
        <v>47</v>
      </c>
      <c r="B5" s="20">
        <v>32.5</v>
      </c>
      <c r="D5" s="27">
        <v>45755</v>
      </c>
      <c r="E5" s="26">
        <v>2550</v>
      </c>
      <c r="F5" s="26">
        <f>E5-B11</f>
        <v>270</v>
      </c>
    </row>
    <row r="6" spans="1:6">
      <c r="A6" s="20" t="s">
        <v>48</v>
      </c>
      <c r="B6" s="20">
        <v>100</v>
      </c>
      <c r="D6" s="27"/>
      <c r="E6" s="26"/>
      <c r="F6" s="26"/>
    </row>
    <row r="7" spans="1:6">
      <c r="A7" s="20" t="s">
        <v>49</v>
      </c>
      <c r="B7" s="20">
        <v>300</v>
      </c>
      <c r="D7" s="27"/>
      <c r="E7" s="26"/>
      <c r="F7" s="26"/>
    </row>
    <row r="8" spans="1:6">
      <c r="A8" s="20" t="s">
        <v>50</v>
      </c>
      <c r="B8" s="20">
        <v>800</v>
      </c>
      <c r="D8" s="27"/>
      <c r="E8" s="26"/>
      <c r="F8" s="26"/>
    </row>
    <row r="9" spans="1:6">
      <c r="A9" s="20" t="s">
        <v>51</v>
      </c>
      <c r="B9" s="20">
        <v>22.5</v>
      </c>
      <c r="D9" s="27"/>
      <c r="E9" s="26"/>
      <c r="F9" s="26"/>
    </row>
    <row r="10" spans="1:6">
      <c r="A10" s="19" t="s">
        <v>34</v>
      </c>
      <c r="B10" s="19">
        <v>275</v>
      </c>
      <c r="D10" s="27"/>
      <c r="E10" s="26"/>
      <c r="F10" s="26"/>
    </row>
    <row r="11" spans="1:6">
      <c r="A11" s="21" t="s">
        <v>18</v>
      </c>
      <c r="B11" s="22">
        <f>SUM(B3:B10)</f>
        <v>2280</v>
      </c>
      <c r="D11" s="27"/>
      <c r="E11" s="26"/>
      <c r="F11" s="26"/>
    </row>
    <row r="12" spans="1:6">
      <c r="D12" s="27"/>
      <c r="E12" s="26"/>
      <c r="F12" s="26"/>
    </row>
    <row r="13" spans="1:6">
      <c r="D13" s="27"/>
      <c r="E13" s="26"/>
      <c r="F13" s="26"/>
    </row>
    <row r="14" spans="1:6">
      <c r="D14" s="29"/>
      <c r="E14" s="26"/>
      <c r="F14" s="26"/>
    </row>
    <row r="15" spans="1:6">
      <c r="D15" s="27"/>
      <c r="E15" s="26"/>
      <c r="F15" s="26"/>
    </row>
    <row r="16" spans="1:6">
      <c r="D16" s="27"/>
      <c r="E16" s="26"/>
      <c r="F16" s="26"/>
    </row>
    <row r="17" spans="4:6">
      <c r="D17" s="27"/>
      <c r="E17" s="26"/>
      <c r="F17" s="26"/>
    </row>
    <row r="18" spans="4:6">
      <c r="D18" s="27"/>
      <c r="E18" s="26"/>
      <c r="F18" s="26"/>
    </row>
    <row r="19" spans="4:6">
      <c r="D19" s="27"/>
      <c r="E19" s="26"/>
      <c r="F19" s="26"/>
    </row>
    <row r="20" spans="4:6">
      <c r="D20" s="27"/>
      <c r="E20" s="26"/>
      <c r="F20" s="26"/>
    </row>
    <row r="21" spans="4:6">
      <c r="D21" s="27"/>
      <c r="E21" s="26"/>
      <c r="F21" s="26"/>
    </row>
    <row r="22" spans="4:6">
      <c r="D22" s="27"/>
      <c r="E22" s="26"/>
      <c r="F22" s="26"/>
    </row>
    <row r="23" spans="4:6">
      <c r="D23" s="27"/>
      <c r="E23" s="26"/>
      <c r="F23" s="26"/>
    </row>
    <row r="24" spans="4:6">
      <c r="D24" s="27"/>
      <c r="E24" s="26"/>
      <c r="F24" s="26"/>
    </row>
    <row r="25" spans="4:6">
      <c r="D25" s="27"/>
      <c r="E25" s="26"/>
      <c r="F25" s="26"/>
    </row>
    <row r="26" spans="4:6">
      <c r="D26" s="27"/>
      <c r="E26" s="26"/>
      <c r="F26" s="26"/>
    </row>
    <row r="27" spans="4:6">
      <c r="D27" s="27"/>
      <c r="E27" s="26"/>
      <c r="F27" s="26"/>
    </row>
    <row r="28" spans="4:6">
      <c r="D28" s="27"/>
      <c r="E28" s="26"/>
      <c r="F28" s="26"/>
    </row>
    <row r="29" spans="4:6">
      <c r="D29" s="27"/>
      <c r="E29" s="26"/>
      <c r="F29" s="26"/>
    </row>
    <row r="30" spans="4:6">
      <c r="D30" s="27"/>
      <c r="E30" s="26"/>
      <c r="F30" s="26"/>
    </row>
    <row r="31" spans="4:6">
      <c r="D31" s="27"/>
      <c r="E31" s="26"/>
      <c r="F31" s="26"/>
    </row>
    <row r="32" spans="4:6">
      <c r="D32" s="27"/>
      <c r="E32" s="26"/>
      <c r="F32" s="26"/>
    </row>
    <row r="33" spans="4:6">
      <c r="D33" s="27"/>
      <c r="E33" s="26"/>
      <c r="F33" s="26"/>
    </row>
    <row r="34" spans="4:6">
      <c r="D34" s="27"/>
      <c r="E34" s="26"/>
      <c r="F34" s="26"/>
    </row>
    <row r="35" spans="4:6">
      <c r="D35" s="27"/>
      <c r="E35" s="26"/>
      <c r="F35" s="26"/>
    </row>
    <row r="36" spans="4:6">
      <c r="D36" s="27"/>
      <c r="E36" s="26"/>
      <c r="F36" s="26"/>
    </row>
    <row r="37" spans="4:6">
      <c r="D37" s="27"/>
      <c r="E37" s="26"/>
      <c r="F37" s="26"/>
    </row>
    <row r="38" spans="4:6">
      <c r="D38" s="27"/>
      <c r="E38" s="26"/>
      <c r="F38" s="26"/>
    </row>
    <row r="39" spans="4:6">
      <c r="D39" s="27"/>
      <c r="E39" s="26"/>
      <c r="F39" s="26"/>
    </row>
    <row r="40" spans="4:6">
      <c r="D40" s="27"/>
      <c r="E40" s="26"/>
      <c r="F40" s="26"/>
    </row>
    <row r="41" spans="4:6">
      <c r="D41" s="27"/>
      <c r="E41" s="26"/>
      <c r="F41" s="26"/>
    </row>
    <row r="42" spans="4:6">
      <c r="D42" s="27"/>
      <c r="E42" s="26"/>
      <c r="F42" s="26"/>
    </row>
    <row r="43" spans="4:6">
      <c r="D43" s="27"/>
      <c r="E43" s="26"/>
      <c r="F43" s="26"/>
    </row>
    <row r="44" spans="4:6">
      <c r="D44" s="27"/>
      <c r="E44" s="26"/>
      <c r="F44" s="26"/>
    </row>
    <row r="45" spans="4:6">
      <c r="D45" s="27"/>
      <c r="E45" s="26"/>
      <c r="F45" s="26"/>
    </row>
    <row r="46" spans="4:6">
      <c r="D46" s="27"/>
      <c r="E46" s="26"/>
      <c r="F46" s="26"/>
    </row>
    <row r="47" spans="4:6">
      <c r="D47" s="27"/>
      <c r="E47" s="26"/>
      <c r="F47" s="26"/>
    </row>
    <row r="48" spans="4:6">
      <c r="D48" s="27"/>
      <c r="E48" s="26"/>
      <c r="F48" s="26"/>
    </row>
    <row r="49" spans="4:6">
      <c r="D49" s="27"/>
      <c r="E49" s="26"/>
      <c r="F49" s="26"/>
    </row>
    <row r="50" spans="4:6">
      <c r="D50" s="27"/>
      <c r="E50" s="26"/>
      <c r="F50" s="26"/>
    </row>
    <row r="51" spans="4:6">
      <c r="D51" s="27"/>
      <c r="E51" s="26"/>
      <c r="F51" s="26"/>
    </row>
    <row r="52" spans="4:6">
      <c r="D52" s="27"/>
      <c r="E52" s="26"/>
      <c r="F52" s="26"/>
    </row>
    <row r="53" spans="4:6">
      <c r="D53" s="27"/>
      <c r="E53" s="26"/>
      <c r="F53" s="26"/>
    </row>
    <row r="54" spans="4:6">
      <c r="D54" s="27"/>
      <c r="E54" s="26"/>
      <c r="F54" s="26"/>
    </row>
    <row r="55" spans="4:6">
      <c r="D55" s="27"/>
      <c r="E55" s="26"/>
      <c r="F55" s="26"/>
    </row>
    <row r="56" spans="4:6">
      <c r="D56" s="27"/>
      <c r="E56" s="26"/>
      <c r="F56" s="26"/>
    </row>
    <row r="57" spans="4:6">
      <c r="D57" s="27"/>
      <c r="E57" s="26"/>
      <c r="F57" s="26"/>
    </row>
    <row r="58" spans="4:6">
      <c r="D58" s="27"/>
      <c r="E58" s="26"/>
      <c r="F58" s="26"/>
    </row>
    <row r="59" spans="4:6">
      <c r="D59" s="27"/>
      <c r="E59" s="26"/>
      <c r="F59" s="26"/>
    </row>
    <row r="60" spans="4:6">
      <c r="D60" s="27"/>
      <c r="E60" s="26"/>
      <c r="F60" s="26"/>
    </row>
    <row r="61" spans="4:6">
      <c r="D61" s="27"/>
      <c r="E61" s="26"/>
      <c r="F61" s="26"/>
    </row>
    <row r="62" spans="4:6">
      <c r="D62" s="27"/>
      <c r="E62" s="26"/>
      <c r="F62" s="26"/>
    </row>
    <row r="63" spans="4:6">
      <c r="D63" s="27"/>
      <c r="E63" s="26"/>
      <c r="F63" s="26"/>
    </row>
    <row r="64" spans="4:6">
      <c r="D64" s="27"/>
      <c r="E64" s="26"/>
      <c r="F64" s="26"/>
    </row>
    <row r="65" spans="4:6">
      <c r="D65" s="27"/>
      <c r="E65" s="26"/>
      <c r="F65" s="26"/>
    </row>
    <row r="66" spans="4:6">
      <c r="D66" s="27"/>
      <c r="E66" s="26"/>
      <c r="F66" s="26"/>
    </row>
    <row r="67" spans="4:6">
      <c r="D67" s="27"/>
      <c r="E67" s="26"/>
      <c r="F67" s="26"/>
    </row>
    <row r="68" spans="4:6">
      <c r="D68" s="27"/>
      <c r="E68" s="26"/>
      <c r="F68" s="26"/>
    </row>
    <row r="69" spans="4:6">
      <c r="D69" s="27"/>
      <c r="E69" s="26"/>
      <c r="F69" s="26"/>
    </row>
    <row r="70" spans="4:6">
      <c r="D70" s="27"/>
      <c r="E70" s="26"/>
      <c r="F70" s="26"/>
    </row>
    <row r="71" spans="4:6">
      <c r="D71" s="27"/>
      <c r="E71" s="26"/>
      <c r="F71" s="26"/>
    </row>
    <row r="72" spans="4:6">
      <c r="D72" s="27"/>
      <c r="E72" s="26"/>
      <c r="F72" s="26"/>
    </row>
    <row r="73" spans="4:6">
      <c r="D73" s="27"/>
      <c r="E73" s="26"/>
      <c r="F73" s="26"/>
    </row>
    <row r="74" spans="4:6">
      <c r="D74" s="27"/>
      <c r="E74" s="26"/>
      <c r="F74" s="26"/>
    </row>
    <row r="75" spans="4:6">
      <c r="D75" s="27"/>
      <c r="E75" s="26"/>
      <c r="F75" s="26"/>
    </row>
    <row r="76" spans="4:6">
      <c r="D76" s="27"/>
      <c r="E76" s="26"/>
      <c r="F76" s="26"/>
    </row>
    <row r="77" spans="4:6">
      <c r="D77" s="27"/>
      <c r="E77" s="26"/>
      <c r="F77" s="26"/>
    </row>
    <row r="78" spans="4:6">
      <c r="D78" s="27"/>
      <c r="E78" s="26"/>
      <c r="F78" s="26"/>
    </row>
    <row r="79" spans="4:6">
      <c r="E79" s="26"/>
      <c r="F79" s="26"/>
    </row>
    <row r="80" spans="4:6">
      <c r="E80" s="26"/>
      <c r="F80" s="26"/>
    </row>
    <row r="81" spans="5:6">
      <c r="E81" s="26"/>
      <c r="F81" s="26"/>
    </row>
    <row r="82" spans="5:6">
      <c r="E82" s="26"/>
      <c r="F82" s="26"/>
    </row>
    <row r="83" spans="5:6">
      <c r="E83" s="26"/>
      <c r="F83" s="26"/>
    </row>
    <row r="84" spans="5:6">
      <c r="E84" s="26"/>
      <c r="F84" s="26"/>
    </row>
    <row r="85" spans="5:6">
      <c r="E85" s="26"/>
      <c r="F85" s="26"/>
    </row>
    <row r="86" spans="5:6">
      <c r="E86" s="26"/>
      <c r="F86" s="26"/>
    </row>
    <row r="87" spans="5:6">
      <c r="E87" s="26"/>
      <c r="F87" s="26"/>
    </row>
    <row r="88" spans="5:6">
      <c r="E88" s="26"/>
      <c r="F88" s="26"/>
    </row>
    <row r="89" spans="5:6">
      <c r="E89" s="26"/>
      <c r="F89" s="26"/>
    </row>
    <row r="90" spans="5:6">
      <c r="E90" s="26"/>
      <c r="F90" s="26"/>
    </row>
    <row r="91" spans="5:6">
      <c r="E91" s="26"/>
      <c r="F91" s="26"/>
    </row>
    <row r="92" spans="5:6">
      <c r="E92" s="26"/>
      <c r="F92" s="26"/>
    </row>
    <row r="93" spans="5:6">
      <c r="E93" s="26"/>
      <c r="F93" s="26"/>
    </row>
    <row r="94" spans="5:6">
      <c r="E94" s="26"/>
      <c r="F94" s="26"/>
    </row>
    <row r="95" spans="5:6">
      <c r="E95" s="26"/>
      <c r="F95" s="26"/>
    </row>
    <row r="96" spans="5:6">
      <c r="E96" s="26"/>
      <c r="F96" s="26"/>
    </row>
    <row r="97" spans="5:6">
      <c r="E97" s="26"/>
      <c r="F97" s="26"/>
    </row>
    <row r="98" spans="5:6">
      <c r="E98" s="26"/>
      <c r="F98" s="26"/>
    </row>
    <row r="99" spans="5:6">
      <c r="E99" s="26"/>
      <c r="F99" s="26"/>
    </row>
    <row r="100" spans="5:6">
      <c r="E100" s="26"/>
      <c r="F100" s="26"/>
    </row>
    <row r="101" spans="5:6">
      <c r="E101" s="26"/>
      <c r="F101" s="26"/>
    </row>
    <row r="102" spans="5:6">
      <c r="E102" s="26"/>
      <c r="F102" s="26"/>
    </row>
    <row r="103" spans="5:6">
      <c r="E103" s="26"/>
      <c r="F103" s="26"/>
    </row>
    <row r="104" spans="5:6">
      <c r="E104" s="26"/>
      <c r="F104" s="26"/>
    </row>
    <row r="105" spans="5:6">
      <c r="E105" s="26"/>
      <c r="F105" s="26"/>
    </row>
    <row r="106" spans="5:6">
      <c r="E106" s="26"/>
      <c r="F106" s="26"/>
    </row>
    <row r="107" spans="5:6">
      <c r="E107" s="26"/>
      <c r="F107" s="26"/>
    </row>
    <row r="108" spans="5:6">
      <c r="E108" s="26"/>
      <c r="F108" s="26"/>
    </row>
    <row r="109" spans="5:6">
      <c r="E109" s="26"/>
      <c r="F109" s="26"/>
    </row>
    <row r="110" spans="5:6">
      <c r="E110" s="26"/>
      <c r="F110" s="26"/>
    </row>
    <row r="111" spans="5:6">
      <c r="E111" s="26"/>
      <c r="F111" s="26"/>
    </row>
    <row r="112" spans="5:6">
      <c r="E112" s="26"/>
      <c r="F112" s="26"/>
    </row>
    <row r="113" spans="5:6">
      <c r="E113" s="26"/>
      <c r="F113" s="26"/>
    </row>
    <row r="114" spans="5:6">
      <c r="E114" s="26"/>
      <c r="F114" s="26"/>
    </row>
    <row r="115" spans="5:6">
      <c r="E115" s="26"/>
      <c r="F115" s="26"/>
    </row>
    <row r="116" spans="5:6">
      <c r="E116" s="26"/>
      <c r="F116" s="26"/>
    </row>
    <row r="117" spans="5:6">
      <c r="E117" s="26"/>
      <c r="F117" s="26"/>
    </row>
    <row r="118" spans="5:6">
      <c r="E118" s="26"/>
      <c r="F118" s="26"/>
    </row>
    <row r="119" spans="5:6">
      <c r="E119" s="26"/>
      <c r="F119" s="26"/>
    </row>
    <row r="120" spans="5:6">
      <c r="E120" s="26"/>
      <c r="F120" s="26"/>
    </row>
    <row r="121" spans="5:6">
      <c r="E121" s="26"/>
      <c r="F121" s="26"/>
    </row>
    <row r="122" spans="5:6">
      <c r="E122" s="26"/>
      <c r="F122" s="26"/>
    </row>
    <row r="123" spans="5:6">
      <c r="E123" s="26"/>
      <c r="F123" s="26"/>
    </row>
    <row r="124" spans="5:6">
      <c r="E124" s="26"/>
      <c r="F124" s="26"/>
    </row>
    <row r="125" spans="5:6">
      <c r="E125" s="26"/>
      <c r="F125" s="26"/>
    </row>
    <row r="126" spans="5:6">
      <c r="E126" s="26"/>
      <c r="F126" s="26"/>
    </row>
    <row r="127" spans="5:6">
      <c r="E127" s="26"/>
      <c r="F127" s="26"/>
    </row>
    <row r="128" spans="5:6">
      <c r="E128" s="26"/>
      <c r="F128" s="26"/>
    </row>
    <row r="129" spans="5:6">
      <c r="E129" s="26"/>
      <c r="F129" s="26"/>
    </row>
  </sheetData>
  <mergeCells count="2">
    <mergeCell ref="A2:B2"/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2024-11-16T20:54:03Z</dcterms:created>
  <dcterms:modified xsi:type="dcterms:W3CDTF">2026-05-07T06:25:08Z</dcterms:modified>
  <cp:category/>
  <cp:contentStatus/>
</cp:coreProperties>
</file>